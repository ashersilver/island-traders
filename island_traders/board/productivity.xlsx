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" sheetId="1" state="visible" r:id="rId1"/>
    <sheet name="Miner" sheetId="2" state="visible" r:id="rId2"/>
    <sheet name="Transporter" sheetId="3" state="visible" r:id="rId3"/>
    <sheet name="Educator" sheetId="4" state="visible" r:id="rId4"/>
    <sheet name="Banker" sheetId="5" state="visible" r:id="rId5"/>
    <sheet name="Manufacturer" sheetId="6" state="visible" r:id="rId6"/>
    <sheet name="Doc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5EFE6"/>
      <sz val="13"/>
    </font>
    <font>
      <name val="Calibri"/>
      <i val="1"/>
      <color rgb="00555555"/>
      <sz val="9"/>
    </font>
    <font>
      <name val="Calibri"/>
      <b val="1"/>
      <color rgb="00F5EFE6"/>
      <sz val="10"/>
    </font>
    <font>
      <name val="Calibri"/>
      <b val="1"/>
      <color rgb="00F5EFE6"/>
      <sz val="9"/>
    </font>
    <font>
      <name val="Calibri"/>
      <b val="1"/>
      <color rgb="001C1410"/>
      <sz val="10"/>
    </font>
    <font>
      <name val="Calibri"/>
      <color rgb="001C1410"/>
      <sz val="10"/>
    </font>
    <font>
      <name val="Calibri"/>
      <color rgb="007A4A2C"/>
      <sz val="10"/>
    </font>
    <font>
      <name val="Calibri"/>
      <color rgb="002E5C38"/>
      <sz val="10"/>
    </font>
    <font>
      <name val="Calibri"/>
      <i val="1"/>
      <color rgb="00777777"/>
      <sz val="8"/>
    </font>
  </fonts>
  <fills count="21">
    <fill>
      <patternFill/>
    </fill>
    <fill>
      <patternFill patternType="gray125"/>
    </fill>
    <fill>
      <patternFill patternType="solid">
        <fgColor rgb="001C1410"/>
      </patternFill>
    </fill>
    <fill>
      <patternFill patternType="solid">
        <fgColor rgb="00F5EFE6"/>
      </patternFill>
    </fill>
    <fill>
      <patternFill patternType="solid">
        <fgColor rgb="007A4A2C"/>
      </patternFill>
    </fill>
    <fill>
      <patternFill patternType="solid">
        <fgColor rgb="002E5C38"/>
      </patternFill>
    </fill>
    <fill>
      <patternFill patternType="solid">
        <fgColor rgb="003D2B1A"/>
      </patternFill>
    </fill>
    <fill>
      <patternFill patternType="solid">
        <fgColor rgb="00D4EDBA"/>
      </patternFill>
    </fill>
    <fill>
      <patternFill patternType="solid">
        <fgColor rgb="00FFF3CD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D4D0C8"/>
      </patternFill>
    </fill>
    <fill>
      <patternFill patternType="solid">
        <fgColor rgb="00F0E6D3"/>
      </patternFill>
    </fill>
    <fill>
      <patternFill patternType="solid">
        <fgColor rgb="00E0F0E3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9E9B94"/>
      </left>
      <right style="thin">
        <color rgb="009E9B94"/>
      </right>
      <top style="thin">
        <color rgb="009E9B94"/>
      </top>
      <bottom style="thin">
        <color rgb="009E9B9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3" fontId="7" fillId="17" borderId="1" applyAlignment="1" pivotButton="0" quotePrefix="0" xfId="0">
      <alignment horizontal="center" vertical="center" wrapText="1"/>
    </xf>
    <xf numFmtId="3" fontId="8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2" fontId="6" fillId="19" borderId="1" applyAlignment="1" pivotButton="0" quotePrefix="0" xfId="0">
      <alignment horizontal="center" vertical="center" wrapText="1"/>
    </xf>
    <xf numFmtId="2" fontId="6" fillId="16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2" fontId="5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Greenfeld — Agriculture &amp; Fisheries</t>
        </is>
      </c>
    </row>
    <row r="2">
      <c r="A2" s="2" t="inlineStr">
        <is>
          <t>Table-based seasonal conversion. Edit yellow cells to tune inputs/outputs.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CapitalEquipment</t>
        </is>
      </c>
      <c r="B5" s="16" t="n">
        <v>1</v>
      </c>
      <c r="C5" s="16" t="n">
        <v>1</v>
      </c>
      <c r="D5" s="16" t="n">
        <v>1</v>
      </c>
      <c r="E5" s="16" t="n">
        <v>1</v>
      </c>
      <c r="F5" s="17">
        <f>B5+C5+D5+E5</f>
        <v/>
      </c>
      <c r="G5" s="18" t="n"/>
      <c r="H5" s="18" t="n"/>
      <c r="I5" s="18" t="n"/>
      <c r="J5" s="18" t="n"/>
      <c r="K5" s="17">
        <f>G5+H5+I5+J5</f>
        <v/>
      </c>
      <c r="L5" s="19">
        <f>F5*28</f>
        <v/>
      </c>
      <c r="M5" s="20">
        <f>K5*28</f>
        <v/>
      </c>
    </row>
    <row r="6">
      <c r="A6" s="15" t="inlineStr">
        <is>
          <t>Fish</t>
        </is>
      </c>
      <c r="B6" s="18" t="n"/>
      <c r="C6" s="18" t="n"/>
      <c r="D6" s="18" t="n"/>
      <c r="E6" s="18" t="n"/>
      <c r="F6" s="17">
        <f>B6+C6+D6+E6</f>
        <v/>
      </c>
      <c r="G6" s="21" t="n">
        <v>3</v>
      </c>
      <c r="H6" s="21" t="n">
        <v>5</v>
      </c>
      <c r="I6" s="21" t="n">
        <v>2</v>
      </c>
      <c r="J6" s="21" t="n">
        <v>1</v>
      </c>
      <c r="K6" s="17">
        <f>G6+H6+I6+J6</f>
        <v/>
      </c>
      <c r="L6" s="19">
        <f>F6*8</f>
        <v/>
      </c>
      <c r="M6" s="20">
        <f>K6*8</f>
        <v/>
      </c>
    </row>
    <row r="7">
      <c r="A7" s="15" t="inlineStr">
        <is>
          <t>Food</t>
        </is>
      </c>
      <c r="B7" s="18" t="n"/>
      <c r="C7" s="18" t="n"/>
      <c r="D7" s="18" t="n"/>
      <c r="E7" s="18" t="n"/>
      <c r="F7" s="17">
        <f>B7+C7+D7+E7</f>
        <v/>
      </c>
      <c r="G7" s="21" t="n">
        <v>2</v>
      </c>
      <c r="H7" s="21" t="n">
        <v>3</v>
      </c>
      <c r="I7" s="21" t="n">
        <v>7</v>
      </c>
      <c r="J7" s="21" t="n">
        <v>2</v>
      </c>
      <c r="K7" s="17">
        <f>G7+H7+I7+J7</f>
        <v/>
      </c>
      <c r="L7" s="19">
        <f>F7*10</f>
        <v/>
      </c>
      <c r="M7" s="20">
        <f>K7*10</f>
        <v/>
      </c>
    </row>
    <row r="8">
      <c r="A8" s="15" t="inlineStr">
        <is>
          <t>Oil</t>
        </is>
      </c>
      <c r="B8" s="16" t="n">
        <v>1</v>
      </c>
      <c r="C8" s="16" t="n">
        <v>1</v>
      </c>
      <c r="D8" s="16" t="n">
        <v>1</v>
      </c>
      <c r="E8" s="16" t="n">
        <v>1</v>
      </c>
      <c r="F8" s="17">
        <f>B8+C8+D8+E8</f>
        <v/>
      </c>
      <c r="G8" s="18" t="n"/>
      <c r="H8" s="18" t="n"/>
      <c r="I8" s="18" t="n"/>
      <c r="J8" s="18" t="n"/>
      <c r="K8" s="17">
        <f>G8+H8+I8+J8</f>
        <v/>
      </c>
      <c r="L8" s="19">
        <f>F8*20</f>
        <v/>
      </c>
      <c r="M8" s="20">
        <f>K8*20</f>
        <v/>
      </c>
    </row>
    <row r="10">
      <c r="A10" s="22" t="inlineStr">
        <is>
          <t>SEASONAL YIELD MULTIPLIER  (applies on top of the base quantities above)</t>
        </is>
      </c>
    </row>
    <row r="11">
      <c r="A11" s="23" t="inlineStr">
        <is>
          <t>Yield multiplier</t>
        </is>
      </c>
      <c r="B11" s="24" t="n">
        <v>1</v>
      </c>
      <c r="C11" s="24" t="n">
        <v>1</v>
      </c>
      <c r="D11" s="24" t="n">
        <v>1</v>
      </c>
      <c r="E11" s="24" t="n">
        <v>1</v>
      </c>
      <c r="F11" s="25">
        <f>(B11+C11+D11+E11)/4</f>
        <v/>
      </c>
    </row>
    <row r="13">
      <c r="A13" s="22" t="inlineStr">
        <is>
          <t>LABOUR REQUIREMENTS  (workers needed per season)</t>
        </is>
      </c>
    </row>
    <row r="14">
      <c r="A14" s="26" t="inlineStr">
        <is>
          <t>Skilled</t>
        </is>
      </c>
      <c r="B14" s="27" t="n">
        <v>1</v>
      </c>
      <c r="C14" s="27" t="n">
        <v>1</v>
      </c>
      <c r="D14" s="27" t="n">
        <v>2</v>
      </c>
      <c r="E14" s="27" t="n">
        <v>1</v>
      </c>
    </row>
    <row r="15">
      <c r="A15" s="26" t="inlineStr">
        <is>
          <t>Unskilled</t>
        </is>
      </c>
      <c r="B15" s="27" t="n">
        <v>3</v>
      </c>
      <c r="C15" s="27" t="n">
        <v>5</v>
      </c>
      <c r="D15" s="27" t="n">
        <v>6</v>
      </c>
      <c r="E15" s="27" t="n">
        <v>1</v>
      </c>
    </row>
    <row r="17">
      <c r="A17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A13:M13"/>
    <mergeCell ref="H3:L3"/>
    <mergeCell ref="M3"/>
    <mergeCell ref="A1:M1"/>
    <mergeCell ref="G3"/>
    <mergeCell ref="B3:F3"/>
    <mergeCell ref="A17:M17"/>
    <mergeCell ref="A2:M2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Ironvein Isle — Mining &amp; Oil</t>
        </is>
      </c>
    </row>
    <row r="2">
      <c r="A2" s="2" t="inlineStr">
        <is>
          <t>Seasonal yield multiplier applied to base outputs. Edit yellow cells.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Freight</t>
        </is>
      </c>
      <c r="B5" s="16" t="n">
        <v>1</v>
      </c>
      <c r="C5" s="16" t="n">
        <v>1</v>
      </c>
      <c r="D5" s="16" t="n">
        <v>1</v>
      </c>
      <c r="E5" s="16" t="n">
        <v>1</v>
      </c>
      <c r="F5" s="17">
        <f>B5+C5+D5+E5</f>
        <v/>
      </c>
      <c r="G5" s="18" t="n"/>
      <c r="H5" s="18" t="n"/>
      <c r="I5" s="18" t="n"/>
      <c r="J5" s="18" t="n"/>
      <c r="K5" s="17">
        <f>G5+H5+I5+J5</f>
        <v/>
      </c>
      <c r="L5" s="19">
        <f>F5*12</f>
        <v/>
      </c>
      <c r="M5" s="20">
        <f>K5*12</f>
        <v/>
      </c>
    </row>
    <row r="6">
      <c r="A6" s="15" t="inlineStr">
        <is>
          <t>Oil</t>
        </is>
      </c>
      <c r="B6" s="16" t="n">
        <v>1</v>
      </c>
      <c r="C6" s="16" t="n">
        <v>1</v>
      </c>
      <c r="D6" s="16" t="n">
        <v>1</v>
      </c>
      <c r="E6" s="16" t="n">
        <v>1</v>
      </c>
      <c r="F6" s="17">
        <f>B6+C6+D6+E6</f>
        <v/>
      </c>
      <c r="G6" s="21" t="n">
        <v>3</v>
      </c>
      <c r="H6" s="21" t="n">
        <v>3</v>
      </c>
      <c r="I6" s="21" t="n">
        <v>3</v>
      </c>
      <c r="J6" s="21" t="n">
        <v>3</v>
      </c>
      <c r="K6" s="17">
        <f>G6+H6+I6+J6</f>
        <v/>
      </c>
      <c r="L6" s="19">
        <f>F6*20</f>
        <v/>
      </c>
      <c r="M6" s="20">
        <f>K6*20</f>
        <v/>
      </c>
    </row>
    <row r="7">
      <c r="A7" s="15" t="inlineStr">
        <is>
          <t>Ore</t>
        </is>
      </c>
      <c r="B7" s="18" t="n"/>
      <c r="C7" s="18" t="n"/>
      <c r="D7" s="18" t="n"/>
      <c r="E7" s="18" t="n"/>
      <c r="F7" s="17">
        <f>B7+C7+D7+E7</f>
        <v/>
      </c>
      <c r="G7" s="21" t="n">
        <v>5</v>
      </c>
      <c r="H7" s="21" t="n">
        <v>5</v>
      </c>
      <c r="I7" s="21" t="n">
        <v>5</v>
      </c>
      <c r="J7" s="21" t="n">
        <v>5</v>
      </c>
      <c r="K7" s="17">
        <f>G7+H7+I7+J7</f>
        <v/>
      </c>
      <c r="L7" s="19">
        <f>F7*15</f>
        <v/>
      </c>
      <c r="M7" s="20">
        <f>K7*15</f>
        <v/>
      </c>
    </row>
    <row r="9">
      <c r="A9" s="22" t="inlineStr">
        <is>
          <t>SEASONAL YIELD MULTIPLIER  (applies on top of the base quantities above)</t>
        </is>
      </c>
    </row>
    <row r="10">
      <c r="A10" s="23" t="inlineStr">
        <is>
          <t>Yield multiplier</t>
        </is>
      </c>
      <c r="B10" s="24" t="n">
        <v>1</v>
      </c>
      <c r="C10" s="29" t="n">
        <v>1.1</v>
      </c>
      <c r="D10" s="24" t="n">
        <v>1</v>
      </c>
      <c r="E10" s="29" t="n">
        <v>0.9</v>
      </c>
      <c r="F10" s="25">
        <f>(B10+C10+D10+E10)/4</f>
        <v/>
      </c>
    </row>
    <row r="12">
      <c r="A12" s="22" t="inlineStr">
        <is>
          <t>LABOUR REQUIREMENTS  (workers needed per season)</t>
        </is>
      </c>
    </row>
    <row r="13">
      <c r="A13" s="26" t="inlineStr">
        <is>
          <t>Skilled</t>
        </is>
      </c>
      <c r="B13" s="27" t="n">
        <v>2</v>
      </c>
      <c r="C13" s="27" t="n">
        <v>2</v>
      </c>
      <c r="D13" s="27" t="n">
        <v>2</v>
      </c>
      <c r="E13" s="27" t="n">
        <v>2</v>
      </c>
    </row>
    <row r="14">
      <c r="A14" s="26" t="inlineStr">
        <is>
          <t>Unskilled</t>
        </is>
      </c>
      <c r="B14" s="27" t="n">
        <v>3</v>
      </c>
      <c r="C14" s="27" t="n">
        <v>3</v>
      </c>
      <c r="D14" s="27" t="n">
        <v>3</v>
      </c>
      <c r="E14" s="27" t="n">
        <v>2</v>
      </c>
    </row>
    <row r="16">
      <c r="A16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H3:L3"/>
    <mergeCell ref="M3"/>
    <mergeCell ref="A1:M1"/>
    <mergeCell ref="G3"/>
    <mergeCell ref="B3:F3"/>
    <mergeCell ref="A9:M9"/>
    <mergeCell ref="A12:M12"/>
    <mergeCell ref="A16:M16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Port Sovereign — Transportation &amp; Shipping</t>
        </is>
      </c>
    </row>
    <row r="2">
      <c r="A2" s="2" t="inlineStr">
        <is>
          <t>Seasonal yield multiplier. Winter storms reduce output. Edit yellow cells.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CapitalEquipment</t>
        </is>
      </c>
      <c r="B5" s="16" t="n">
        <v>1</v>
      </c>
      <c r="C5" s="16" t="n">
        <v>1</v>
      </c>
      <c r="D5" s="16" t="n">
        <v>1</v>
      </c>
      <c r="E5" s="16" t="n">
        <v>1</v>
      </c>
      <c r="F5" s="17">
        <f>B5+C5+D5+E5</f>
        <v/>
      </c>
      <c r="G5" s="18" t="n"/>
      <c r="H5" s="18" t="n"/>
      <c r="I5" s="18" t="n"/>
      <c r="J5" s="18" t="n"/>
      <c r="K5" s="17">
        <f>G5+H5+I5+J5</f>
        <v/>
      </c>
      <c r="L5" s="19">
        <f>F5*28</f>
        <v/>
      </c>
      <c r="M5" s="20">
        <f>K5*28</f>
        <v/>
      </c>
    </row>
    <row r="6">
      <c r="A6" s="15" t="inlineStr">
        <is>
          <t>Freight</t>
        </is>
      </c>
      <c r="B6" s="18" t="n"/>
      <c r="C6" s="18" t="n"/>
      <c r="D6" s="18" t="n"/>
      <c r="E6" s="18" t="n"/>
      <c r="F6" s="17">
        <f>B6+C6+D6+E6</f>
        <v/>
      </c>
      <c r="G6" s="21" t="n">
        <v>6</v>
      </c>
      <c r="H6" s="21" t="n">
        <v>6</v>
      </c>
      <c r="I6" s="21" t="n">
        <v>6</v>
      </c>
      <c r="J6" s="21" t="n">
        <v>6</v>
      </c>
      <c r="K6" s="17">
        <f>G6+H6+I6+J6</f>
        <v/>
      </c>
      <c r="L6" s="19">
        <f>F6*12</f>
        <v/>
      </c>
      <c r="M6" s="20">
        <f>K6*12</f>
        <v/>
      </c>
    </row>
    <row r="7">
      <c r="A7" s="15" t="inlineStr">
        <is>
          <t>Oil</t>
        </is>
      </c>
      <c r="B7" s="16" t="n">
        <v>2</v>
      </c>
      <c r="C7" s="16" t="n">
        <v>2</v>
      </c>
      <c r="D7" s="16" t="n">
        <v>2</v>
      </c>
      <c r="E7" s="16" t="n">
        <v>2</v>
      </c>
      <c r="F7" s="17">
        <f>B7+C7+D7+E7</f>
        <v/>
      </c>
      <c r="G7" s="18" t="n"/>
      <c r="H7" s="18" t="n"/>
      <c r="I7" s="18" t="n"/>
      <c r="J7" s="18" t="n"/>
      <c r="K7" s="17">
        <f>G7+H7+I7+J7</f>
        <v/>
      </c>
      <c r="L7" s="19">
        <f>F7*20</f>
        <v/>
      </c>
      <c r="M7" s="20">
        <f>K7*20</f>
        <v/>
      </c>
    </row>
    <row r="9">
      <c r="A9" s="22" t="inlineStr">
        <is>
          <t>SEASONAL YIELD MULTIPLIER  (applies on top of the base quantities above)</t>
        </is>
      </c>
    </row>
    <row r="10">
      <c r="A10" s="23" t="inlineStr">
        <is>
          <t>Yield multiplier</t>
        </is>
      </c>
      <c r="B10" s="29" t="n">
        <v>0.9</v>
      </c>
      <c r="C10" s="29" t="n">
        <v>1.1</v>
      </c>
      <c r="D10" s="29" t="n">
        <v>1.2</v>
      </c>
      <c r="E10" s="29" t="n">
        <v>0.8</v>
      </c>
      <c r="F10" s="25">
        <f>(B10+C10+D10+E10)/4</f>
        <v/>
      </c>
    </row>
    <row r="12">
      <c r="A12" s="22" t="inlineStr">
        <is>
          <t>LABOUR REQUIREMENTS  (workers needed per season)</t>
        </is>
      </c>
    </row>
    <row r="13">
      <c r="A13" s="26" t="inlineStr">
        <is>
          <t>Skilled</t>
        </is>
      </c>
      <c r="B13" s="27" t="n">
        <v>2</v>
      </c>
      <c r="C13" s="27" t="n">
        <v>2</v>
      </c>
      <c r="D13" s="27" t="n">
        <v>2</v>
      </c>
      <c r="E13" s="27" t="n">
        <v>1</v>
      </c>
    </row>
    <row r="14">
      <c r="A14" s="26" t="inlineStr">
        <is>
          <t>Unskilled</t>
        </is>
      </c>
      <c r="B14" s="27" t="n">
        <v>2</v>
      </c>
      <c r="C14" s="27" t="n">
        <v>3</v>
      </c>
      <c r="D14" s="27" t="n">
        <v>4</v>
      </c>
      <c r="E14" s="27" t="n">
        <v>2</v>
      </c>
    </row>
    <row r="16">
      <c r="A16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H3:L3"/>
    <mergeCell ref="M3"/>
    <mergeCell ref="A1:M1"/>
    <mergeCell ref="G3"/>
    <mergeCell ref="B3:F3"/>
    <mergeCell ref="A9:M9"/>
    <mergeCell ref="A12:M12"/>
    <mergeCell ref="A16:M16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Scholara — Education &amp; Training</t>
        </is>
      </c>
    </row>
    <row r="2">
      <c r="A2" s="2" t="inlineStr">
        <is>
          <t>Summer break reduces output. Edit yellow cells.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CapitalEquipment</t>
        </is>
      </c>
      <c r="B5" s="16" t="n">
        <v>1</v>
      </c>
      <c r="C5" s="16" t="n">
        <v>1</v>
      </c>
      <c r="D5" s="16" t="n">
        <v>1</v>
      </c>
      <c r="E5" s="16" t="n">
        <v>1</v>
      </c>
      <c r="F5" s="17">
        <f>B5+C5+D5+E5</f>
        <v/>
      </c>
      <c r="G5" s="18" t="n"/>
      <c r="H5" s="18" t="n"/>
      <c r="I5" s="18" t="n"/>
      <c r="J5" s="18" t="n"/>
      <c r="K5" s="17">
        <f>G5+H5+I5+J5</f>
        <v/>
      </c>
      <c r="L5" s="19">
        <f>F5*28</f>
        <v/>
      </c>
      <c r="M5" s="20">
        <f>K5*28</f>
        <v/>
      </c>
    </row>
    <row r="6">
      <c r="A6" s="15" t="inlineStr">
        <is>
          <t>Finance</t>
        </is>
      </c>
      <c r="B6" s="16" t="n">
        <v>1</v>
      </c>
      <c r="C6" s="16" t="n">
        <v>1</v>
      </c>
      <c r="D6" s="16" t="n">
        <v>1</v>
      </c>
      <c r="E6" s="16" t="n">
        <v>1</v>
      </c>
      <c r="F6" s="17">
        <f>B6+C6+D6+E6</f>
        <v/>
      </c>
      <c r="G6" s="18" t="n"/>
      <c r="H6" s="18" t="n"/>
      <c r="I6" s="18" t="n"/>
      <c r="J6" s="18" t="n"/>
      <c r="K6" s="17">
        <f>G6+H6+I6+J6</f>
        <v/>
      </c>
      <c r="L6" s="19">
        <f>F6*20</f>
        <v/>
      </c>
      <c r="M6" s="20">
        <f>K6*20</f>
        <v/>
      </c>
    </row>
    <row r="7">
      <c r="A7" s="15" t="inlineStr">
        <is>
          <t>Knowledge</t>
        </is>
      </c>
      <c r="B7" s="18" t="n"/>
      <c r="C7" s="18" t="n"/>
      <c r="D7" s="18" t="n"/>
      <c r="E7" s="18" t="n"/>
      <c r="F7" s="17">
        <f>B7+C7+D7+E7</f>
        <v/>
      </c>
      <c r="G7" s="21" t="n">
        <v>4</v>
      </c>
      <c r="H7" s="21" t="n">
        <v>4</v>
      </c>
      <c r="I7" s="21" t="n">
        <v>4</v>
      </c>
      <c r="J7" s="21" t="n">
        <v>4</v>
      </c>
      <c r="K7" s="17">
        <f>G7+H7+I7+J7</f>
        <v/>
      </c>
      <c r="L7" s="19">
        <f>F7*18</f>
        <v/>
      </c>
      <c r="M7" s="20">
        <f>K7*18</f>
        <v/>
      </c>
    </row>
    <row r="9">
      <c r="A9" s="22" t="inlineStr">
        <is>
          <t>SEASONAL YIELD MULTIPLIER  (applies on top of the base quantities above)</t>
        </is>
      </c>
    </row>
    <row r="10">
      <c r="A10" s="23" t="inlineStr">
        <is>
          <t>Yield multiplier</t>
        </is>
      </c>
      <c r="B10" s="29" t="n">
        <v>1.1</v>
      </c>
      <c r="C10" s="29" t="n">
        <v>0.7</v>
      </c>
      <c r="D10" s="29" t="n">
        <v>1.1</v>
      </c>
      <c r="E10" s="29" t="n">
        <v>1.1</v>
      </c>
      <c r="F10" s="25">
        <f>(B10+C10+D10+E10)/4</f>
        <v/>
      </c>
    </row>
    <row r="12">
      <c r="A12" s="22" t="inlineStr">
        <is>
          <t>LABOUR REQUIREMENTS  (workers needed per season)</t>
        </is>
      </c>
    </row>
    <row r="13">
      <c r="A13" s="26" t="inlineStr">
        <is>
          <t>Skilled</t>
        </is>
      </c>
      <c r="B13" s="27" t="n">
        <v>2</v>
      </c>
      <c r="C13" s="27" t="n">
        <v>1</v>
      </c>
      <c r="D13" s="27" t="n">
        <v>2</v>
      </c>
      <c r="E13" s="27" t="n">
        <v>2</v>
      </c>
    </row>
    <row r="14">
      <c r="A14" s="26" t="inlineStr">
        <is>
          <t>Unskilled</t>
        </is>
      </c>
      <c r="B14" s="27" t="n">
        <v>2</v>
      </c>
      <c r="C14" s="27" t="n">
        <v>1</v>
      </c>
      <c r="D14" s="27" t="n">
        <v>2</v>
      </c>
      <c r="E14" s="27" t="n">
        <v>2</v>
      </c>
    </row>
    <row r="16">
      <c r="A16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H3:L3"/>
    <mergeCell ref="M3"/>
    <mergeCell ref="A1:M1"/>
    <mergeCell ref="G3"/>
    <mergeCell ref="B3:F3"/>
    <mergeCell ref="A9:M9"/>
    <mergeCell ref="A12:M12"/>
    <mergeCell ref="A16:M16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Aurum Cay — Banking</t>
        </is>
      </c>
    </row>
    <row r="2">
      <c r="A2" s="2" t="inlineStr">
        <is>
          <t>Economic cycle aligns with harvest/trade seasons. Edit yellow cells.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CapitalEquipment</t>
        </is>
      </c>
      <c r="B5" s="16" t="n">
        <v>1</v>
      </c>
      <c r="C5" s="16" t="n">
        <v>1</v>
      </c>
      <c r="D5" s="16" t="n">
        <v>1</v>
      </c>
      <c r="E5" s="16" t="n">
        <v>1</v>
      </c>
      <c r="F5" s="17">
        <f>B5+C5+D5+E5</f>
        <v/>
      </c>
      <c r="G5" s="18" t="n"/>
      <c r="H5" s="18" t="n"/>
      <c r="I5" s="18" t="n"/>
      <c r="J5" s="18" t="n"/>
      <c r="K5" s="17">
        <f>G5+H5+I5+J5</f>
        <v/>
      </c>
      <c r="L5" s="19">
        <f>F5*28</f>
        <v/>
      </c>
      <c r="M5" s="20">
        <f>K5*28</f>
        <v/>
      </c>
    </row>
    <row r="6">
      <c r="A6" s="15" t="inlineStr">
        <is>
          <t>Finance</t>
        </is>
      </c>
      <c r="B6" s="18" t="n"/>
      <c r="C6" s="18" t="n"/>
      <c r="D6" s="18" t="n"/>
      <c r="E6" s="18" t="n"/>
      <c r="F6" s="17">
        <f>B6+C6+D6+E6</f>
        <v/>
      </c>
      <c r="G6" s="21" t="n">
        <v>3</v>
      </c>
      <c r="H6" s="21" t="n">
        <v>3</v>
      </c>
      <c r="I6" s="21" t="n">
        <v>3</v>
      </c>
      <c r="J6" s="21" t="n">
        <v>3</v>
      </c>
      <c r="K6" s="17">
        <f>G6+H6+I6+J6</f>
        <v/>
      </c>
      <c r="L6" s="19">
        <f>F6*20</f>
        <v/>
      </c>
      <c r="M6" s="20">
        <f>K6*20</f>
        <v/>
      </c>
    </row>
    <row r="7">
      <c r="A7" s="15" t="inlineStr">
        <is>
          <t>Knowledge</t>
        </is>
      </c>
      <c r="B7" s="16" t="n">
        <v>1</v>
      </c>
      <c r="C7" s="16" t="n">
        <v>1</v>
      </c>
      <c r="D7" s="16" t="n">
        <v>1</v>
      </c>
      <c r="E7" s="16" t="n">
        <v>1</v>
      </c>
      <c r="F7" s="17">
        <f>B7+C7+D7+E7</f>
        <v/>
      </c>
      <c r="G7" s="18" t="n"/>
      <c r="H7" s="18" t="n"/>
      <c r="I7" s="18" t="n"/>
      <c r="J7" s="18" t="n"/>
      <c r="K7" s="17">
        <f>G7+H7+I7+J7</f>
        <v/>
      </c>
      <c r="L7" s="19">
        <f>F7*18</f>
        <v/>
      </c>
      <c r="M7" s="20">
        <f>K7*18</f>
        <v/>
      </c>
    </row>
    <row r="9">
      <c r="A9" s="22" t="inlineStr">
        <is>
          <t>SEASONAL YIELD MULTIPLIER  (applies on top of the base quantities above)</t>
        </is>
      </c>
    </row>
    <row r="10">
      <c r="A10" s="23" t="inlineStr">
        <is>
          <t>Yield multiplier</t>
        </is>
      </c>
      <c r="B10" s="29" t="n">
        <v>0.9</v>
      </c>
      <c r="C10" s="24" t="n">
        <v>1</v>
      </c>
      <c r="D10" s="29" t="n">
        <v>1.2</v>
      </c>
      <c r="E10" s="29" t="n">
        <v>0.9</v>
      </c>
      <c r="F10" s="25">
        <f>(B10+C10+D10+E10)/4</f>
        <v/>
      </c>
    </row>
    <row r="12">
      <c r="A12" s="22" t="inlineStr">
        <is>
          <t>LABOUR REQUIREMENTS  (workers needed per season)</t>
        </is>
      </c>
    </row>
    <row r="13">
      <c r="A13" s="26" t="inlineStr">
        <is>
          <t>Skilled</t>
        </is>
      </c>
      <c r="B13" s="27" t="n">
        <v>2</v>
      </c>
      <c r="C13" s="27" t="n">
        <v>2</v>
      </c>
      <c r="D13" s="27" t="n">
        <v>2</v>
      </c>
      <c r="E13" s="27" t="n">
        <v>2</v>
      </c>
    </row>
    <row r="14">
      <c r="A14" s="26" t="inlineStr">
        <is>
          <t>Unskilled</t>
        </is>
      </c>
      <c r="B14" s="27" t="n">
        <v>1</v>
      </c>
      <c r="C14" s="27" t="n">
        <v>1</v>
      </c>
      <c r="D14" s="27" t="n">
        <v>2</v>
      </c>
      <c r="E14" s="27" t="n">
        <v>1</v>
      </c>
    </row>
    <row r="16">
      <c r="A16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H3:L3"/>
    <mergeCell ref="M3"/>
    <mergeCell ref="A1:M1"/>
    <mergeCell ref="G3"/>
    <mergeCell ref="B3:F3"/>
    <mergeCell ref="A9:M9"/>
    <mergeCell ref="A12:M12"/>
    <mergeCell ref="A16:M16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Forgehaven — Manufacturing</t>
        </is>
      </c>
    </row>
    <row r="2">
      <c r="A2" s="2" t="inlineStr">
        <is>
          <t>Demand-driven production. Autumn peak follows harvest. Edit yellow cells.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CapitalEquipment</t>
        </is>
      </c>
      <c r="B5" s="18" t="n"/>
      <c r="C5" s="18" t="n"/>
      <c r="D5" s="18" t="n"/>
      <c r="E5" s="18" t="n"/>
      <c r="F5" s="17">
        <f>B5+C5+D5+E5</f>
        <v/>
      </c>
      <c r="G5" s="21" t="n">
        <v>2</v>
      </c>
      <c r="H5" s="21" t="n">
        <v>2</v>
      </c>
      <c r="I5" s="21" t="n">
        <v>2</v>
      </c>
      <c r="J5" s="21" t="n">
        <v>2</v>
      </c>
      <c r="K5" s="17">
        <f>G5+H5+I5+J5</f>
        <v/>
      </c>
      <c r="L5" s="19">
        <f>F5*28</f>
        <v/>
      </c>
      <c r="M5" s="20">
        <f>K5*28</f>
        <v/>
      </c>
    </row>
    <row r="6">
      <c r="A6" s="15" t="inlineStr">
        <is>
          <t>Freight</t>
        </is>
      </c>
      <c r="B6" s="16" t="n">
        <v>1</v>
      </c>
      <c r="C6" s="16" t="n">
        <v>1</v>
      </c>
      <c r="D6" s="16" t="n">
        <v>1</v>
      </c>
      <c r="E6" s="16" t="n">
        <v>1</v>
      </c>
      <c r="F6" s="17">
        <f>B6+C6+D6+E6</f>
        <v/>
      </c>
      <c r="G6" s="18" t="n"/>
      <c r="H6" s="18" t="n"/>
      <c r="I6" s="18" t="n"/>
      <c r="J6" s="18" t="n"/>
      <c r="K6" s="17">
        <f>G6+H6+I6+J6</f>
        <v/>
      </c>
      <c r="L6" s="19">
        <f>F6*12</f>
        <v/>
      </c>
      <c r="M6" s="20">
        <f>K6*12</f>
        <v/>
      </c>
    </row>
    <row r="7">
      <c r="A7" s="15" t="inlineStr">
        <is>
          <t>Goods</t>
        </is>
      </c>
      <c r="B7" s="18" t="n"/>
      <c r="C7" s="18" t="n"/>
      <c r="D7" s="18" t="n"/>
      <c r="E7" s="18" t="n"/>
      <c r="F7" s="17">
        <f>B7+C7+D7+E7</f>
        <v/>
      </c>
      <c r="G7" s="21" t="n">
        <v>3</v>
      </c>
      <c r="H7" s="21" t="n">
        <v>3</v>
      </c>
      <c r="I7" s="21" t="n">
        <v>3</v>
      </c>
      <c r="J7" s="21" t="n">
        <v>3</v>
      </c>
      <c r="K7" s="17">
        <f>G7+H7+I7+J7</f>
        <v/>
      </c>
      <c r="L7" s="19">
        <f>F7*30</f>
        <v/>
      </c>
      <c r="M7" s="20">
        <f>K7*30</f>
        <v/>
      </c>
    </row>
    <row r="8">
      <c r="A8" s="15" t="inlineStr">
        <is>
          <t>Oil</t>
        </is>
      </c>
      <c r="B8" s="16" t="n">
        <v>1</v>
      </c>
      <c r="C8" s="16" t="n">
        <v>1</v>
      </c>
      <c r="D8" s="16" t="n">
        <v>1</v>
      </c>
      <c r="E8" s="16" t="n">
        <v>1</v>
      </c>
      <c r="F8" s="17">
        <f>B8+C8+D8+E8</f>
        <v/>
      </c>
      <c r="G8" s="18" t="n"/>
      <c r="H8" s="18" t="n"/>
      <c r="I8" s="18" t="n"/>
      <c r="J8" s="18" t="n"/>
      <c r="K8" s="17">
        <f>G8+H8+I8+J8</f>
        <v/>
      </c>
      <c r="L8" s="19">
        <f>F8*20</f>
        <v/>
      </c>
      <c r="M8" s="20">
        <f>K8*20</f>
        <v/>
      </c>
    </row>
    <row r="9">
      <c r="A9" s="15" t="inlineStr">
        <is>
          <t>Ore</t>
        </is>
      </c>
      <c r="B9" s="16" t="n">
        <v>2</v>
      </c>
      <c r="C9" s="16" t="n">
        <v>2</v>
      </c>
      <c r="D9" s="16" t="n">
        <v>2</v>
      </c>
      <c r="E9" s="16" t="n">
        <v>2</v>
      </c>
      <c r="F9" s="17">
        <f>B9+C9+D9+E9</f>
        <v/>
      </c>
      <c r="G9" s="18" t="n"/>
      <c r="H9" s="18" t="n"/>
      <c r="I9" s="18" t="n"/>
      <c r="J9" s="18" t="n"/>
      <c r="K9" s="17">
        <f>G9+H9+I9+J9</f>
        <v/>
      </c>
      <c r="L9" s="19">
        <f>F9*15</f>
        <v/>
      </c>
      <c r="M9" s="20">
        <f>K9*15</f>
        <v/>
      </c>
    </row>
    <row r="11">
      <c r="A11" s="22" t="inlineStr">
        <is>
          <t>SEASONAL YIELD MULTIPLIER  (applies on top of the base quantities above)</t>
        </is>
      </c>
    </row>
    <row r="12">
      <c r="A12" s="23" t="inlineStr">
        <is>
          <t>Yield multiplier</t>
        </is>
      </c>
      <c r="B12" s="24" t="n">
        <v>1</v>
      </c>
      <c r="C12" s="24" t="n">
        <v>1</v>
      </c>
      <c r="D12" s="29" t="n">
        <v>1.1</v>
      </c>
      <c r="E12" s="29" t="n">
        <v>0.9</v>
      </c>
      <c r="F12" s="25">
        <f>(B12+C12+D12+E12)/4</f>
        <v/>
      </c>
    </row>
    <row r="14">
      <c r="A14" s="22" t="inlineStr">
        <is>
          <t>LABOUR REQUIREMENTS  (workers needed per season)</t>
        </is>
      </c>
    </row>
    <row r="15">
      <c r="A15" s="26" t="inlineStr">
        <is>
          <t>Skilled</t>
        </is>
      </c>
      <c r="B15" s="27" t="n">
        <v>3</v>
      </c>
      <c r="C15" s="27" t="n">
        <v>3</v>
      </c>
      <c r="D15" s="27" t="n">
        <v>3</v>
      </c>
      <c r="E15" s="27" t="n">
        <v>2</v>
      </c>
    </row>
    <row r="16">
      <c r="A16" s="26" t="inlineStr">
        <is>
          <t>Unskilled</t>
        </is>
      </c>
      <c r="B16" s="27" t="n">
        <v>2</v>
      </c>
      <c r="C16" s="27" t="n">
        <v>2</v>
      </c>
      <c r="D16" s="27" t="n">
        <v>2</v>
      </c>
      <c r="E16" s="27" t="n">
        <v>2</v>
      </c>
    </row>
    <row r="18">
      <c r="A18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H3:L3"/>
    <mergeCell ref="M3"/>
    <mergeCell ref="A14:M14"/>
    <mergeCell ref="A1:M1"/>
    <mergeCell ref="G3"/>
    <mergeCell ref="B3:F3"/>
    <mergeCell ref="A18:M18"/>
    <mergeCell ref="A2:M2"/>
    <mergeCell ref="A11:M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2" customHeight="1">
      <c r="A1" s="1" t="inlineStr">
        <is>
          <t>Mericula — Healthcare</t>
        </is>
      </c>
    </row>
    <row r="2">
      <c r="A2" s="2" t="inlineStr">
        <is>
          <t>Winter illness and Summer injuries drive demand peaks. Edit yellow cells.</t>
        </is>
      </c>
    </row>
    <row r="3" ht="32" customHeight="1">
      <c r="B3" s="3" t="inlineStr">
        <is>
          <t>INPUTS  (qty consumed per season)</t>
        </is>
      </c>
      <c r="G3" s="4" t="inlineStr">
        <is>
          <t>→ Total In</t>
        </is>
      </c>
      <c r="H3" s="5" t="inlineStr">
        <is>
          <t>OUTPUTS  (qty produced per season)</t>
        </is>
      </c>
      <c r="M3" s="6" t="inlineStr">
        <is>
          <t>→ Total Out</t>
        </is>
      </c>
    </row>
    <row r="4" ht="18" customHeight="1">
      <c r="A4" s="7" t="inlineStr">
        <is>
          <t>Resource</t>
        </is>
      </c>
      <c r="B4" s="8" t="inlineStr">
        <is>
          <t>Spring</t>
        </is>
      </c>
      <c r="C4" s="9" t="inlineStr">
        <is>
          <t>Summer</t>
        </is>
      </c>
      <c r="D4" s="10" t="inlineStr">
        <is>
          <t>Autumn</t>
        </is>
      </c>
      <c r="E4" s="11" t="inlineStr">
        <is>
          <t>Winter</t>
        </is>
      </c>
      <c r="F4" s="12" t="inlineStr">
        <is>
          <t>Annual</t>
        </is>
      </c>
      <c r="G4" s="8" t="inlineStr">
        <is>
          <t>Spring</t>
        </is>
      </c>
      <c r="H4" s="9" t="inlineStr">
        <is>
          <t>Summer</t>
        </is>
      </c>
      <c r="I4" s="10" t="inlineStr">
        <is>
          <t>Autumn</t>
        </is>
      </c>
      <c r="J4" s="11" t="inlineStr">
        <is>
          <t>Winter</t>
        </is>
      </c>
      <c r="K4" s="12" t="inlineStr">
        <is>
          <t>Annual</t>
        </is>
      </c>
      <c r="L4" s="13" t="inlineStr">
        <is>
          <t>In value (Dp)</t>
        </is>
      </c>
      <c r="M4" s="14" t="inlineStr">
        <is>
          <t>Out value (Dp)</t>
        </is>
      </c>
    </row>
    <row r="5">
      <c r="A5" s="15" t="inlineStr">
        <is>
          <t>CapitalEquipment</t>
        </is>
      </c>
      <c r="B5" s="16" t="n">
        <v>1</v>
      </c>
      <c r="C5" s="16" t="n">
        <v>1</v>
      </c>
      <c r="D5" s="16" t="n">
        <v>1</v>
      </c>
      <c r="E5" s="16" t="n">
        <v>1</v>
      </c>
      <c r="F5" s="17">
        <f>B5+C5+D5+E5</f>
        <v/>
      </c>
      <c r="G5" s="18" t="n"/>
      <c r="H5" s="18" t="n"/>
      <c r="I5" s="18" t="n"/>
      <c r="J5" s="18" t="n"/>
      <c r="K5" s="17">
        <f>G5+H5+I5+J5</f>
        <v/>
      </c>
      <c r="L5" s="19">
        <f>F5*28</f>
        <v/>
      </c>
      <c r="M5" s="20">
        <f>K5*28</f>
        <v/>
      </c>
    </row>
    <row r="6">
      <c r="A6" s="15" t="inlineStr">
        <is>
          <t>HealthServices</t>
        </is>
      </c>
      <c r="B6" s="18" t="n"/>
      <c r="C6" s="18" t="n"/>
      <c r="D6" s="18" t="n"/>
      <c r="E6" s="18" t="n"/>
      <c r="F6" s="17">
        <f>B6+C6+D6+E6</f>
        <v/>
      </c>
      <c r="G6" s="21" t="n">
        <v>4</v>
      </c>
      <c r="H6" s="21" t="n">
        <v>4</v>
      </c>
      <c r="I6" s="21" t="n">
        <v>4</v>
      </c>
      <c r="J6" s="21" t="n">
        <v>4</v>
      </c>
      <c r="K6" s="17">
        <f>G6+H6+I6+J6</f>
        <v/>
      </c>
      <c r="L6" s="19">
        <f>F6*35</f>
        <v/>
      </c>
      <c r="M6" s="20">
        <f>K6*35</f>
        <v/>
      </c>
    </row>
    <row r="7">
      <c r="A7" s="15" t="inlineStr">
        <is>
          <t>Knowledge</t>
        </is>
      </c>
      <c r="B7" s="16" t="n">
        <v>1</v>
      </c>
      <c r="C7" s="16" t="n">
        <v>1</v>
      </c>
      <c r="D7" s="16" t="n">
        <v>1</v>
      </c>
      <c r="E7" s="16" t="n">
        <v>1</v>
      </c>
      <c r="F7" s="17">
        <f>B7+C7+D7+E7</f>
        <v/>
      </c>
      <c r="G7" s="18" t="n"/>
      <c r="H7" s="18" t="n"/>
      <c r="I7" s="18" t="n"/>
      <c r="J7" s="18" t="n"/>
      <c r="K7" s="17">
        <f>G7+H7+I7+J7</f>
        <v/>
      </c>
      <c r="L7" s="19">
        <f>F7*18</f>
        <v/>
      </c>
      <c r="M7" s="20">
        <f>K7*18</f>
        <v/>
      </c>
    </row>
    <row r="8">
      <c r="A8" s="15" t="inlineStr">
        <is>
          <t>Vaccine</t>
        </is>
      </c>
      <c r="B8" s="18" t="n"/>
      <c r="C8" s="18" t="n"/>
      <c r="D8" s="18" t="n"/>
      <c r="E8" s="18" t="n"/>
      <c r="F8" s="17">
        <f>B8+C8+D8+E8</f>
        <v/>
      </c>
      <c r="G8" s="21" t="n">
        <v>1</v>
      </c>
      <c r="H8" s="21" t="n">
        <v>1</v>
      </c>
      <c r="I8" s="21" t="n">
        <v>1</v>
      </c>
      <c r="J8" s="21" t="n">
        <v>1</v>
      </c>
      <c r="K8" s="17">
        <f>G8+H8+I8+J8</f>
        <v/>
      </c>
      <c r="L8" s="19">
        <f>F8*40</f>
        <v/>
      </c>
      <c r="M8" s="20">
        <f>K8*40</f>
        <v/>
      </c>
    </row>
    <row r="10">
      <c r="A10" s="22" t="inlineStr">
        <is>
          <t>SEASONAL YIELD MULTIPLIER  (applies on top of the base quantities above)</t>
        </is>
      </c>
    </row>
    <row r="11">
      <c r="A11" s="23" t="inlineStr">
        <is>
          <t>Yield multiplier</t>
        </is>
      </c>
      <c r="B11" s="29" t="n">
        <v>0.9</v>
      </c>
      <c r="C11" s="29" t="n">
        <v>1.1</v>
      </c>
      <c r="D11" s="29" t="n">
        <v>0.9</v>
      </c>
      <c r="E11" s="29" t="n">
        <v>1.1</v>
      </c>
      <c r="F11" s="25">
        <f>(B11+C11+D11+E11)/4</f>
        <v/>
      </c>
    </row>
    <row r="13">
      <c r="A13" s="22" t="inlineStr">
        <is>
          <t>LABOUR REQUIREMENTS  (workers needed per season)</t>
        </is>
      </c>
    </row>
    <row r="14">
      <c r="A14" s="26" t="inlineStr">
        <is>
          <t>Skilled</t>
        </is>
      </c>
      <c r="B14" s="27" t="n">
        <v>12</v>
      </c>
      <c r="C14" s="27" t="n">
        <v>14</v>
      </c>
      <c r="D14" s="27" t="n">
        <v>12</v>
      </c>
      <c r="E14" s="27" t="n">
        <v>24</v>
      </c>
    </row>
    <row r="15">
      <c r="A15" s="26" t="inlineStr">
        <is>
          <t>Unskilled</t>
        </is>
      </c>
      <c r="B15" s="27" t="n">
        <v>18</v>
      </c>
      <c r="C15" s="27" t="n">
        <v>21</v>
      </c>
      <c r="D15" s="27" t="n">
        <v>18</v>
      </c>
      <c r="E15" s="27" t="n">
        <v>20</v>
      </c>
    </row>
    <row r="17">
      <c r="A17" s="28" t="inlineStr">
        <is>
          <t>Yellow = editable inputs/outputs  |  Green = editable outputs  |  Blue = yield multipliers (avg should stay ≈ 1.0)  |  Pink = labour  |  Grey = calculated</t>
        </is>
      </c>
    </row>
  </sheetData>
  <mergeCells count="9">
    <mergeCell ref="A13:M13"/>
    <mergeCell ref="H3:L3"/>
    <mergeCell ref="M3"/>
    <mergeCell ref="A1:M1"/>
    <mergeCell ref="G3"/>
    <mergeCell ref="B3:F3"/>
    <mergeCell ref="A17:M17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2026-04-24T14:12:22Z</dcterms:created>
  <dcterms:modified xsi:type="dcterms:W3CDTF">2026-04-24T14:12:22Z</dcterms:modified>
</cp:coreProperties>
</file>